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11750" yWindow="900" windowWidth="7470" windowHeight="6480" tabRatio="808" firstSheet="2" activeTab="9"/>
  </bookViews>
  <sheets>
    <sheet name="Formula Fundamentals" sheetId="12" r:id="rId1"/>
    <sheet name="Tax Rate" sheetId="13" r:id="rId2"/>
    <sheet name="Order of Operations" sheetId="4" r:id="rId3"/>
    <sheet name="Basic Functions" sheetId="5" r:id="rId4"/>
    <sheet name="Conditional Functions" sheetId="6" r:id="rId5"/>
    <sheet name="Text Functions" sheetId="7" r:id="rId6"/>
    <sheet name="Logical Functions" sheetId="8" r:id="rId7"/>
    <sheet name="Lookup Functions" sheetId="9" r:id="rId8"/>
    <sheet name="Date &amp; Time" sheetId="10" r:id="rId9"/>
    <sheet name="Bonus" sheetId="11" r:id="rId10"/>
  </sheets>
  <definedNames>
    <definedName name="TaxRate">'Tax Rate'!$A$2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0"/>
  <c r="A2"/>
  <c r="E3" i="9"/>
  <c r="C23" i="8"/>
  <c r="C19"/>
  <c r="C16"/>
  <c r="C11"/>
  <c r="C15"/>
  <c r="C4"/>
  <c r="C3"/>
  <c r="A32" i="7"/>
  <c r="A29"/>
  <c r="A26"/>
  <c r="A15"/>
  <c r="A11"/>
  <c r="A7"/>
  <c r="A3"/>
  <c r="I2" i="6"/>
  <c r="G2"/>
  <c r="B18" i="5"/>
  <c r="B17"/>
  <c r="B16"/>
  <c r="B15"/>
  <c r="B14"/>
  <c r="B13"/>
  <c r="B12"/>
  <c r="B11"/>
  <c r="B10"/>
  <c r="B9"/>
  <c r="B5" i="4"/>
  <c r="B9" i="12"/>
  <c r="C5"/>
  <c r="B5"/>
  <c r="D5"/>
  <c r="E5"/>
  <c r="C4"/>
  <c r="D4"/>
  <c r="E4"/>
  <c r="B4"/>
  <c r="E3"/>
  <c r="E2"/>
  <c r="A3" i="11" l="1"/>
  <c r="B4"/>
  <c r="B3"/>
  <c r="A2"/>
  <c r="A1"/>
  <c r="B4" i="4"/>
</calcChain>
</file>

<file path=xl/sharedStrings.xml><?xml version="1.0" encoding="utf-8"?>
<sst xmlns="http://schemas.openxmlformats.org/spreadsheetml/2006/main" count="203" uniqueCount="88">
  <si>
    <t>Chocolate Chip</t>
  </si>
  <si>
    <t>Oatmeal Raisin</t>
  </si>
  <si>
    <t>Sugar Cookie</t>
  </si>
  <si>
    <t>Totals</t>
  </si>
  <si>
    <t>Tax Rate</t>
  </si>
  <si>
    <t>Revenue</t>
  </si>
  <si>
    <t>Cost</t>
  </si>
  <si>
    <t>Profit</t>
  </si>
  <si>
    <t>Tax</t>
  </si>
  <si>
    <t>Profit Split</t>
  </si>
  <si>
    <t>* and / evaluated first</t>
  </si>
  <si>
    <t>+ and - evaluated second</t>
  </si>
  <si>
    <t>Use parentheses to control the order</t>
  </si>
  <si>
    <t>Cookie Name</t>
  </si>
  <si>
    <t>Cookies Sold</t>
  </si>
  <si>
    <t xml:space="preserve">How many cookies sold? </t>
  </si>
  <si>
    <t>Most # of cookies sold</t>
  </si>
  <si>
    <t>Least # of cookies sold</t>
  </si>
  <si>
    <t>Snickerdoodle</t>
  </si>
  <si>
    <t>2nd most sold</t>
  </si>
  <si>
    <t>Birthday Cake</t>
  </si>
  <si>
    <t>2nd least sold</t>
  </si>
  <si>
    <t>Peanut Butter</t>
  </si>
  <si>
    <t># of cookies with sales?</t>
  </si>
  <si>
    <t>Fortune</t>
  </si>
  <si>
    <t>Average sold?</t>
  </si>
  <si>
    <t>What # is in the middle?</t>
  </si>
  <si>
    <t>What # occurs most frequently?</t>
  </si>
  <si>
    <t>Country</t>
  </si>
  <si>
    <t>United States</t>
  </si>
  <si>
    <t>Sumif</t>
  </si>
  <si>
    <t>sumifs</t>
  </si>
  <si>
    <t>Averageif</t>
  </si>
  <si>
    <t>Averageifs</t>
  </si>
  <si>
    <t>India</t>
  </si>
  <si>
    <t>Countif</t>
  </si>
  <si>
    <t>Countifs</t>
  </si>
  <si>
    <t>Minifs</t>
  </si>
  <si>
    <t>Maxifs</t>
  </si>
  <si>
    <t>Philippines</t>
  </si>
  <si>
    <t>Proper</t>
  </si>
  <si>
    <t>kevin cookie company</t>
  </si>
  <si>
    <t>Trim</t>
  </si>
  <si>
    <t xml:space="preserve">   Kevin Cookie Company</t>
  </si>
  <si>
    <t>Concat</t>
  </si>
  <si>
    <t>Kevin</t>
  </si>
  <si>
    <t>Cookie</t>
  </si>
  <si>
    <t>Company</t>
  </si>
  <si>
    <t>&amp;</t>
  </si>
  <si>
    <t>Text Join</t>
  </si>
  <si>
    <t>Right, Left, Mid</t>
  </si>
  <si>
    <t>123 Main Street, 05486</t>
  </si>
  <si>
    <t>Len</t>
  </si>
  <si>
    <t>Kevin Cookie Company</t>
  </si>
  <si>
    <t>Find (case-sensitive) and search (not case-sensitive)</t>
  </si>
  <si>
    <t>sue@kevincookiecompany.com</t>
  </si>
  <si>
    <t>Left together with find</t>
  </si>
  <si>
    <t>True / False</t>
  </si>
  <si>
    <t>Mrs. Fields</t>
  </si>
  <si>
    <t>If</t>
  </si>
  <si>
    <t>Do we sell more chocolate chip or oatmeal raisin?</t>
  </si>
  <si>
    <t>AND</t>
  </si>
  <si>
    <t>Does chocolate chip sell more than all other cookies?</t>
  </si>
  <si>
    <t>OR</t>
  </si>
  <si>
    <t>Does chocolate chip sell more than oatmeal raisin or sugar?</t>
  </si>
  <si>
    <t>Cookie Type</t>
  </si>
  <si>
    <t>Price</t>
  </si>
  <si>
    <t>Nested If / Ifs</t>
  </si>
  <si>
    <t>What is the price of:</t>
  </si>
  <si>
    <t>VLOOKUP</t>
  </si>
  <si>
    <t>XLOOKUP</t>
  </si>
  <si>
    <t>Today</t>
  </si>
  <si>
    <t>Now</t>
  </si>
  <si>
    <t>TOTAL</t>
  </si>
  <si>
    <t>MOST (MAX)</t>
  </si>
  <si>
    <t>LEAST (MIN)</t>
  </si>
  <si>
    <t>2ND MOST SOLD</t>
  </si>
  <si>
    <t>LEAST SOLD</t>
  </si>
  <si>
    <t>COUNT</t>
  </si>
  <si>
    <t>COUNTAA</t>
  </si>
  <si>
    <t>AVERAGE SOLD</t>
  </si>
  <si>
    <t>MIDDLE</t>
  </si>
  <si>
    <t>MODEE</t>
  </si>
  <si>
    <t>Nigeria</t>
  </si>
  <si>
    <t xml:space="preserve">Nigeria </t>
  </si>
  <si>
    <t>United State</t>
  </si>
  <si>
    <t>United Kingdom</t>
  </si>
  <si>
    <t>United Kindgdom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</si>
</sst>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/>
    <xf numFmtId="9" fontId="0" fillId="0" borderId="0" xfId="0" applyNumberFormat="1"/>
    <xf numFmtId="0" fontId="0" fillId="0" borderId="0" xfId="0" applyAlignment="1">
      <alignment vertical="center"/>
    </xf>
    <xf numFmtId="0" fontId="2" fillId="0" borderId="0" xfId="1" applyFill="1"/>
    <xf numFmtId="14" fontId="0" fillId="0" borderId="0" xfId="0" applyNumberFormat="1"/>
    <xf numFmtId="22" fontId="0" fillId="0" borderId="0" xfId="0" applyNumberFormat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sue@kevincookiecompany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zoomScale="175" zoomScaleNormal="175" workbookViewId="0">
      <selection activeCell="B10" sqref="B10"/>
    </sheetView>
  </sheetViews>
  <sheetFormatPr defaultRowHeight="14.5"/>
  <cols>
    <col min="1" max="1" width="11.1796875" customWidth="1"/>
    <col min="2" max="2" width="17" customWidth="1"/>
    <col min="3" max="3" width="16.81640625" customWidth="1"/>
    <col min="4" max="4" width="12.453125" bestFit="1" customWidth="1"/>
    <col min="6" max="6" width="2.26953125" customWidth="1"/>
  </cols>
  <sheetData>
    <row r="1" spans="1:7">
      <c r="B1" s="2" t="s">
        <v>0</v>
      </c>
      <c r="C1" s="2" t="s">
        <v>1</v>
      </c>
      <c r="D1" s="2" t="s">
        <v>2</v>
      </c>
      <c r="E1" s="2" t="s">
        <v>3</v>
      </c>
      <c r="G1" s="2" t="s">
        <v>4</v>
      </c>
    </row>
    <row r="2" spans="1:7">
      <c r="A2" s="2" t="s">
        <v>5</v>
      </c>
      <c r="B2">
        <v>10</v>
      </c>
      <c r="C2">
        <v>8</v>
      </c>
      <c r="D2">
        <v>5</v>
      </c>
      <c r="E2">
        <f>SUM(B2+C2+D2)</f>
        <v>23</v>
      </c>
      <c r="G2" s="3">
        <v>0.1</v>
      </c>
    </row>
    <row r="3" spans="1:7">
      <c r="A3" s="2" t="s">
        <v>6</v>
      </c>
      <c r="B3">
        <v>4</v>
      </c>
      <c r="C3">
        <v>3</v>
      </c>
      <c r="D3">
        <v>2</v>
      </c>
      <c r="E3">
        <f>SUM(B3+C3+D3)</f>
        <v>9</v>
      </c>
    </row>
    <row r="4" spans="1:7">
      <c r="A4" s="2" t="s">
        <v>7</v>
      </c>
      <c r="B4">
        <f>B2-B3</f>
        <v>6</v>
      </c>
      <c r="C4">
        <f t="shared" ref="C4:E4" si="0">C2-C3</f>
        <v>5</v>
      </c>
      <c r="D4">
        <f t="shared" si="0"/>
        <v>3</v>
      </c>
      <c r="E4">
        <f t="shared" si="0"/>
        <v>14</v>
      </c>
    </row>
    <row r="5" spans="1:7">
      <c r="A5" s="2" t="s">
        <v>8</v>
      </c>
      <c r="B5">
        <f>B4*TaxRate</f>
        <v>0.60000000000000009</v>
      </c>
      <c r="C5">
        <f>C4*TaxRate</f>
        <v>0.5</v>
      </c>
      <c r="D5">
        <f>D4*'Tax Rate'!$A$2</f>
        <v>0.30000000000000004</v>
      </c>
      <c r="E5">
        <f>E4*'Tax Rate'!$A$2</f>
        <v>1.4000000000000001</v>
      </c>
    </row>
    <row r="6" spans="1:7">
      <c r="A6" s="2"/>
      <c r="C6" s="1"/>
    </row>
    <row r="7" spans="1:7">
      <c r="C7" s="1"/>
    </row>
    <row r="8" spans="1:7">
      <c r="C8" s="1"/>
    </row>
    <row r="9" spans="1:7">
      <c r="A9" s="2" t="s">
        <v>9</v>
      </c>
      <c r="B9">
        <f>E4/2</f>
        <v>7</v>
      </c>
      <c r="C9" s="1"/>
      <c r="D9" s="6"/>
    </row>
    <row r="10" spans="1:7">
      <c r="C10" s="1"/>
      <c r="D10" s="6"/>
    </row>
    <row r="11" spans="1:7">
      <c r="C11" s="1"/>
    </row>
    <row r="12" spans="1:7">
      <c r="C1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zoomScale="85" zoomScaleNormal="85" workbookViewId="0">
      <selection activeCell="A2" sqref="A2"/>
    </sheetView>
  </sheetViews>
  <sheetFormatPr defaultRowHeight="14.5"/>
  <sheetData>
    <row r="1" spans="1:1">
      <c r="A1" s="2" t="s">
        <v>4</v>
      </c>
    </row>
    <row r="2" spans="1:1">
      <c r="A2" s="3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zoomScale="145" zoomScaleNormal="145" workbookViewId="0">
      <selection activeCell="A7" sqref="A7"/>
    </sheetView>
  </sheetViews>
  <sheetFormatPr defaultRowHeight="14.5"/>
  <cols>
    <col min="2" max="2" width="14.453125" bestFit="1" customWidth="1"/>
  </cols>
  <sheetData>
    <row r="1" spans="1:4">
      <c r="B1" s="2" t="s">
        <v>0</v>
      </c>
      <c r="D1" s="2" t="s">
        <v>4</v>
      </c>
    </row>
    <row r="2" spans="1:4">
      <c r="A2" s="2" t="s">
        <v>5</v>
      </c>
      <c r="B2">
        <v>10</v>
      </c>
      <c r="D2" s="3">
        <v>0.1</v>
      </c>
    </row>
    <row r="3" spans="1:4">
      <c r="A3" s="2" t="s">
        <v>6</v>
      </c>
      <c r="B3">
        <v>4</v>
      </c>
    </row>
    <row r="4" spans="1:4">
      <c r="A4" s="2" t="s">
        <v>7</v>
      </c>
      <c r="B4">
        <f>B2-B3</f>
        <v>6</v>
      </c>
    </row>
    <row r="5" spans="1:4">
      <c r="A5" s="2" t="s">
        <v>8</v>
      </c>
      <c r="B5">
        <f>(B2-B3)*D2</f>
        <v>0.60000000000000009</v>
      </c>
    </row>
    <row r="7" spans="1:4">
      <c r="A7" s="4" t="s">
        <v>10</v>
      </c>
    </row>
    <row r="8" spans="1:4">
      <c r="A8" s="4" t="s">
        <v>11</v>
      </c>
    </row>
    <row r="9" spans="1:4">
      <c r="A9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8"/>
  <sheetViews>
    <sheetView topLeftCell="A7" zoomScale="175" zoomScaleNormal="175" workbookViewId="0">
      <selection sqref="A1:A8"/>
    </sheetView>
  </sheetViews>
  <sheetFormatPr defaultColWidth="18.1796875" defaultRowHeight="14.5"/>
  <sheetData>
    <row r="1" spans="1:4">
      <c r="A1" s="2" t="s">
        <v>13</v>
      </c>
      <c r="B1" s="2" t="s">
        <v>14</v>
      </c>
    </row>
    <row r="2" spans="1:4">
      <c r="A2" t="s">
        <v>0</v>
      </c>
      <c r="B2">
        <v>97</v>
      </c>
      <c r="D2" t="s">
        <v>15</v>
      </c>
    </row>
    <row r="3" spans="1:4">
      <c r="A3" t="s">
        <v>1</v>
      </c>
      <c r="B3">
        <v>77</v>
      </c>
      <c r="D3" t="s">
        <v>16</v>
      </c>
    </row>
    <row r="4" spans="1:4">
      <c r="A4" t="s">
        <v>2</v>
      </c>
      <c r="B4">
        <v>67</v>
      </c>
      <c r="D4" t="s">
        <v>17</v>
      </c>
    </row>
    <row r="5" spans="1:4">
      <c r="A5" t="s">
        <v>18</v>
      </c>
      <c r="B5">
        <v>52</v>
      </c>
      <c r="D5" t="s">
        <v>19</v>
      </c>
    </row>
    <row r="6" spans="1:4">
      <c r="A6" t="s">
        <v>20</v>
      </c>
      <c r="B6">
        <v>52</v>
      </c>
      <c r="D6" t="s">
        <v>21</v>
      </c>
    </row>
    <row r="7" spans="1:4">
      <c r="A7" t="s">
        <v>22</v>
      </c>
      <c r="B7">
        <v>40</v>
      </c>
      <c r="D7" t="s">
        <v>23</v>
      </c>
    </row>
    <row r="8" spans="1:4">
      <c r="A8" t="s">
        <v>24</v>
      </c>
      <c r="B8">
        <v>36</v>
      </c>
    </row>
    <row r="9" spans="1:4" s="2" customFormat="1">
      <c r="A9" s="2" t="s">
        <v>73</v>
      </c>
      <c r="B9" s="2">
        <f>SUM(B2:B8)</f>
        <v>421</v>
      </c>
    </row>
    <row r="10" spans="1:4">
      <c r="A10" s="2" t="s">
        <v>74</v>
      </c>
      <c r="B10" s="2">
        <f>MAX(B2:B8)</f>
        <v>97</v>
      </c>
      <c r="D10" t="s">
        <v>25</v>
      </c>
    </row>
    <row r="11" spans="1:4">
      <c r="A11" s="2" t="s">
        <v>75</v>
      </c>
      <c r="B11">
        <f>MIN(B2:B8)</f>
        <v>36</v>
      </c>
      <c r="D11" t="s">
        <v>26</v>
      </c>
    </row>
    <row r="12" spans="1:4">
      <c r="A12" s="2" t="s">
        <v>76</v>
      </c>
      <c r="B12">
        <f>LARGE(B2:B8,2)</f>
        <v>77</v>
      </c>
      <c r="D12" t="s">
        <v>27</v>
      </c>
    </row>
    <row r="13" spans="1:4">
      <c r="A13" s="2" t="s">
        <v>77</v>
      </c>
      <c r="B13">
        <f>SMALL(B2:B8,2)</f>
        <v>40</v>
      </c>
    </row>
    <row r="14" spans="1:4">
      <c r="A14" s="2" t="s">
        <v>78</v>
      </c>
      <c r="B14">
        <f>COUNT(B2:B8)</f>
        <v>7</v>
      </c>
    </row>
    <row r="15" spans="1:4">
      <c r="A15" s="2" t="s">
        <v>79</v>
      </c>
      <c r="B15">
        <f>COUNTA(A2:A8)</f>
        <v>7</v>
      </c>
    </row>
    <row r="16" spans="1:4">
      <c r="A16" s="2" t="s">
        <v>80</v>
      </c>
      <c r="B16">
        <f>AVERAGE(B2:B8)</f>
        <v>60.142857142857146</v>
      </c>
    </row>
    <row r="17" spans="1:2">
      <c r="A17" s="2" t="s">
        <v>81</v>
      </c>
      <c r="B17">
        <f>MEDIAN(B2:B8)</f>
        <v>52</v>
      </c>
    </row>
    <row r="18" spans="1:2">
      <c r="A18" s="2" t="s">
        <v>82</v>
      </c>
      <c r="B18">
        <f>MODE(B2:B8)</f>
        <v>52</v>
      </c>
    </row>
  </sheetData>
  <sortState ref="A2:B8">
    <sortCondition descending="1" ref="B1:B8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2"/>
  <sheetViews>
    <sheetView topLeftCell="D1" zoomScale="130" zoomScaleNormal="130" workbookViewId="0">
      <selection activeCell="I2" sqref="I2"/>
    </sheetView>
  </sheetViews>
  <sheetFormatPr defaultColWidth="15.08984375" defaultRowHeight="14.5"/>
  <sheetData>
    <row r="1" spans="1:11">
      <c r="A1" s="2" t="s">
        <v>13</v>
      </c>
      <c r="B1" s="2" t="s">
        <v>28</v>
      </c>
      <c r="C1" s="2" t="s">
        <v>14</v>
      </c>
      <c r="D1" s="2" t="s">
        <v>13</v>
      </c>
      <c r="E1" s="2" t="s">
        <v>28</v>
      </c>
      <c r="F1" s="2" t="s">
        <v>14</v>
      </c>
      <c r="G1" s="2" t="s">
        <v>30</v>
      </c>
      <c r="H1" s="2" t="s">
        <v>35</v>
      </c>
      <c r="I1" s="2" t="s">
        <v>31</v>
      </c>
      <c r="J1" s="2" t="s">
        <v>32</v>
      </c>
      <c r="K1" s="2" t="s">
        <v>37</v>
      </c>
    </row>
    <row r="2" spans="1:11">
      <c r="A2" t="s">
        <v>0</v>
      </c>
      <c r="B2" t="s">
        <v>29</v>
      </c>
      <c r="C2">
        <v>28</v>
      </c>
      <c r="D2" t="s">
        <v>0</v>
      </c>
      <c r="E2" t="s">
        <v>83</v>
      </c>
      <c r="F2">
        <v>28</v>
      </c>
      <c r="G2">
        <f>SUMIF(E:E,E2,F:F)</f>
        <v>174</v>
      </c>
      <c r="I2">
        <f>SUMIFS(F:F,E:E,E4,D:D,D5)</f>
        <v>66</v>
      </c>
    </row>
    <row r="3" spans="1:11">
      <c r="A3" t="s">
        <v>1</v>
      </c>
      <c r="B3" t="s">
        <v>29</v>
      </c>
      <c r="C3">
        <v>32</v>
      </c>
      <c r="D3" t="s">
        <v>1</v>
      </c>
      <c r="E3" t="s">
        <v>84</v>
      </c>
      <c r="F3">
        <v>30</v>
      </c>
    </row>
    <row r="4" spans="1:11">
      <c r="A4" t="s">
        <v>2</v>
      </c>
      <c r="B4" t="s">
        <v>29</v>
      </c>
      <c r="C4">
        <v>52</v>
      </c>
      <c r="D4" t="s">
        <v>2</v>
      </c>
      <c r="E4" t="s">
        <v>85</v>
      </c>
      <c r="F4">
        <v>25</v>
      </c>
      <c r="J4" t="s">
        <v>33</v>
      </c>
      <c r="K4" t="s">
        <v>38</v>
      </c>
    </row>
    <row r="5" spans="1:11">
      <c r="A5" t="s">
        <v>18</v>
      </c>
      <c r="B5" t="s">
        <v>29</v>
      </c>
      <c r="C5">
        <v>67</v>
      </c>
      <c r="D5" t="s">
        <v>18</v>
      </c>
      <c r="E5" t="s">
        <v>85</v>
      </c>
      <c r="F5">
        <v>10</v>
      </c>
      <c r="G5" t="s">
        <v>36</v>
      </c>
    </row>
    <row r="6" spans="1:11">
      <c r="A6" t="s">
        <v>20</v>
      </c>
      <c r="B6" t="s">
        <v>29</v>
      </c>
      <c r="C6">
        <v>44</v>
      </c>
      <c r="D6" t="s">
        <v>20</v>
      </c>
      <c r="E6" t="s">
        <v>85</v>
      </c>
      <c r="F6">
        <v>16</v>
      </c>
    </row>
    <row r="7" spans="1:11">
      <c r="A7" t="s">
        <v>22</v>
      </c>
      <c r="B7" t="s">
        <v>29</v>
      </c>
      <c r="C7">
        <v>39</v>
      </c>
      <c r="D7" t="s">
        <v>22</v>
      </c>
      <c r="E7" t="s">
        <v>83</v>
      </c>
      <c r="F7">
        <v>15</v>
      </c>
    </row>
    <row r="8" spans="1:11">
      <c r="A8" t="s">
        <v>24</v>
      </c>
      <c r="B8" t="s">
        <v>29</v>
      </c>
      <c r="C8">
        <v>100</v>
      </c>
      <c r="D8" t="s">
        <v>24</v>
      </c>
      <c r="E8" t="s">
        <v>86</v>
      </c>
      <c r="F8">
        <v>11</v>
      </c>
    </row>
    <row r="9" spans="1:11">
      <c r="A9" t="s">
        <v>1</v>
      </c>
      <c r="B9" t="s">
        <v>34</v>
      </c>
      <c r="C9">
        <v>32</v>
      </c>
      <c r="D9" t="s">
        <v>0</v>
      </c>
      <c r="E9" t="s">
        <v>87</v>
      </c>
      <c r="F9">
        <v>49</v>
      </c>
    </row>
    <row r="10" spans="1:11">
      <c r="A10" t="s">
        <v>2</v>
      </c>
      <c r="B10" t="s">
        <v>34</v>
      </c>
      <c r="C10">
        <v>40</v>
      </c>
      <c r="D10" t="s">
        <v>1</v>
      </c>
      <c r="E10" t="s">
        <v>85</v>
      </c>
      <c r="F10">
        <v>50</v>
      </c>
    </row>
    <row r="11" spans="1:11">
      <c r="A11" t="s">
        <v>18</v>
      </c>
      <c r="B11" t="s">
        <v>34</v>
      </c>
      <c r="C11">
        <v>21</v>
      </c>
      <c r="D11" t="s">
        <v>2</v>
      </c>
      <c r="E11" t="s">
        <v>83</v>
      </c>
      <c r="F11">
        <v>10</v>
      </c>
    </row>
    <row r="12" spans="1:11">
      <c r="A12" t="s">
        <v>20</v>
      </c>
      <c r="B12" t="s">
        <v>34</v>
      </c>
      <c r="C12">
        <v>58</v>
      </c>
      <c r="D12" t="s">
        <v>18</v>
      </c>
      <c r="E12" t="s">
        <v>84</v>
      </c>
      <c r="F12">
        <v>60</v>
      </c>
    </row>
    <row r="13" spans="1:11">
      <c r="A13" t="s">
        <v>22</v>
      </c>
      <c r="B13" t="s">
        <v>34</v>
      </c>
      <c r="C13">
        <v>21</v>
      </c>
      <c r="D13" t="s">
        <v>20</v>
      </c>
      <c r="E13" t="s">
        <v>85</v>
      </c>
      <c r="F13">
        <v>50</v>
      </c>
    </row>
    <row r="14" spans="1:11">
      <c r="A14" t="s">
        <v>24</v>
      </c>
      <c r="B14" t="s">
        <v>34</v>
      </c>
      <c r="C14">
        <v>54</v>
      </c>
      <c r="D14" t="s">
        <v>22</v>
      </c>
      <c r="E14" t="s">
        <v>85</v>
      </c>
      <c r="F14">
        <v>10</v>
      </c>
    </row>
    <row r="15" spans="1:11">
      <c r="A15" t="s">
        <v>0</v>
      </c>
      <c r="B15" t="s">
        <v>39</v>
      </c>
      <c r="C15">
        <v>55</v>
      </c>
      <c r="D15" t="s">
        <v>24</v>
      </c>
      <c r="E15" t="s">
        <v>85</v>
      </c>
      <c r="F15">
        <v>10</v>
      </c>
    </row>
    <row r="16" spans="1:11">
      <c r="A16" t="s">
        <v>1</v>
      </c>
      <c r="B16" t="s">
        <v>39</v>
      </c>
      <c r="C16">
        <v>41</v>
      </c>
      <c r="D16" t="s">
        <v>0</v>
      </c>
      <c r="E16" t="s">
        <v>83</v>
      </c>
      <c r="F16">
        <v>23</v>
      </c>
    </row>
    <row r="17" spans="1:6">
      <c r="A17" t="s">
        <v>2</v>
      </c>
      <c r="B17" t="s">
        <v>39</v>
      </c>
      <c r="C17">
        <v>92</v>
      </c>
      <c r="D17" t="s">
        <v>1</v>
      </c>
      <c r="E17" t="s">
        <v>86</v>
      </c>
      <c r="F17">
        <v>34</v>
      </c>
    </row>
    <row r="18" spans="1:6">
      <c r="A18" t="s">
        <v>18</v>
      </c>
      <c r="B18" t="s">
        <v>39</v>
      </c>
      <c r="C18">
        <v>89</v>
      </c>
      <c r="D18" t="s">
        <v>2</v>
      </c>
      <c r="E18" t="s">
        <v>87</v>
      </c>
      <c r="F18">
        <v>67</v>
      </c>
    </row>
    <row r="19" spans="1:6">
      <c r="A19" t="s">
        <v>20</v>
      </c>
      <c r="B19" t="s">
        <v>39</v>
      </c>
      <c r="C19">
        <v>34</v>
      </c>
      <c r="D19" t="s">
        <v>18</v>
      </c>
      <c r="E19" t="s">
        <v>85</v>
      </c>
      <c r="F19">
        <v>56</v>
      </c>
    </row>
    <row r="20" spans="1:6">
      <c r="A20" t="s">
        <v>22</v>
      </c>
      <c r="B20" t="s">
        <v>39</v>
      </c>
      <c r="C20">
        <v>29</v>
      </c>
      <c r="D20" t="s">
        <v>20</v>
      </c>
      <c r="E20" t="s">
        <v>83</v>
      </c>
      <c r="F20">
        <v>98</v>
      </c>
    </row>
    <row r="21" spans="1:6">
      <c r="A21" t="s">
        <v>24</v>
      </c>
      <c r="B21" t="s">
        <v>39</v>
      </c>
      <c r="C21">
        <v>100</v>
      </c>
      <c r="D21" t="s">
        <v>22</v>
      </c>
      <c r="E21" t="s">
        <v>84</v>
      </c>
      <c r="F21">
        <v>45</v>
      </c>
    </row>
    <row r="22" spans="1:6">
      <c r="D22" t="s">
        <v>24</v>
      </c>
      <c r="E22" t="s">
        <v>85</v>
      </c>
      <c r="F22">
        <v>10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2"/>
  <sheetViews>
    <sheetView topLeftCell="A25" zoomScale="190" zoomScaleNormal="190" workbookViewId="0">
      <selection activeCell="D30" sqref="D30"/>
    </sheetView>
  </sheetViews>
  <sheetFormatPr defaultRowHeight="14.5"/>
  <cols>
    <col min="1" max="1" width="23.1796875" customWidth="1"/>
  </cols>
  <sheetData>
    <row r="1" spans="1:3">
      <c r="A1" s="2" t="s">
        <v>40</v>
      </c>
    </row>
    <row r="2" spans="1:3">
      <c r="A2" t="s">
        <v>41</v>
      </c>
    </row>
    <row r="3" spans="1:3">
      <c r="A3" t="str">
        <f>PROPER(A2)</f>
        <v>Kevin Cookie Company</v>
      </c>
    </row>
    <row r="5" spans="1:3">
      <c r="A5" s="2" t="s">
        <v>42</v>
      </c>
    </row>
    <row r="6" spans="1:3">
      <c r="A6" t="s">
        <v>43</v>
      </c>
    </row>
    <row r="7" spans="1:3">
      <c r="A7" t="str">
        <f>TRIM(A6)</f>
        <v>Kevin Cookie Company</v>
      </c>
    </row>
    <row r="9" spans="1:3">
      <c r="A9" s="2" t="s">
        <v>44</v>
      </c>
    </row>
    <row r="10" spans="1:3">
      <c r="A10" t="s">
        <v>45</v>
      </c>
      <c r="B10" t="s">
        <v>46</v>
      </c>
      <c r="C10" t="s">
        <v>47</v>
      </c>
    </row>
    <row r="11" spans="1:3">
      <c r="A11" t="str">
        <f>CONCATENATE(A10, " ", B10, " ", C10)</f>
        <v>Kevin Cookie Company</v>
      </c>
    </row>
    <row r="13" spans="1:3">
      <c r="A13" s="2" t="s">
        <v>48</v>
      </c>
    </row>
    <row r="14" spans="1:3">
      <c r="A14" t="s">
        <v>45</v>
      </c>
      <c r="B14" t="s">
        <v>46</v>
      </c>
      <c r="C14" t="s">
        <v>47</v>
      </c>
    </row>
    <row r="15" spans="1:3">
      <c r="A15" t="str">
        <f>A14 &amp; " "&amp; B14  &amp; " "&amp; C14</f>
        <v>Kevin Cookie Company</v>
      </c>
    </row>
    <row r="17" spans="1:3">
      <c r="A17" s="2" t="s">
        <v>49</v>
      </c>
    </row>
    <row r="18" spans="1:3">
      <c r="A18" t="s">
        <v>45</v>
      </c>
      <c r="B18" t="s">
        <v>46</v>
      </c>
      <c r="C18" t="s">
        <v>47</v>
      </c>
    </row>
    <row r="21" spans="1:3">
      <c r="A21" s="2" t="s">
        <v>50</v>
      </c>
    </row>
    <row r="22" spans="1:3">
      <c r="A22" t="s">
        <v>51</v>
      </c>
    </row>
    <row r="24" spans="1:3">
      <c r="A24" s="2" t="s">
        <v>52</v>
      </c>
    </row>
    <row r="25" spans="1:3">
      <c r="A25" t="s">
        <v>53</v>
      </c>
    </row>
    <row r="26" spans="1:3">
      <c r="A26">
        <f>LEN(A25)</f>
        <v>20</v>
      </c>
    </row>
    <row r="27" spans="1:3">
      <c r="A27" s="2" t="s">
        <v>54</v>
      </c>
    </row>
    <row r="28" spans="1:3">
      <c r="A28" s="5" t="s">
        <v>55</v>
      </c>
    </row>
    <row r="29" spans="1:3">
      <c r="A29">
        <f>FIND(".",A28)</f>
        <v>23</v>
      </c>
    </row>
    <row r="31" spans="1:3">
      <c r="A31" s="2" t="s">
        <v>56</v>
      </c>
    </row>
    <row r="32" spans="1:3">
      <c r="A32" t="str">
        <f>LEFT(A28,FIND("@",A28)-1)</f>
        <v>sue</v>
      </c>
    </row>
  </sheetData>
  <hyperlinks>
    <hyperlink ref="A28" r:id="rId1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4"/>
  <sheetViews>
    <sheetView topLeftCell="A16" zoomScale="160" zoomScaleNormal="160" workbookViewId="0">
      <selection activeCell="C24" sqref="C24"/>
    </sheetView>
  </sheetViews>
  <sheetFormatPr defaultRowHeight="14.5"/>
  <cols>
    <col min="1" max="1" width="21.7265625" bestFit="1" customWidth="1"/>
    <col min="2" max="2" width="16.453125" customWidth="1"/>
    <col min="3" max="3" width="18.453125" customWidth="1"/>
    <col min="4" max="4" width="14.36328125" customWidth="1"/>
    <col min="5" max="5" width="12.26953125" customWidth="1"/>
  </cols>
  <sheetData>
    <row r="1" spans="1:3">
      <c r="A1" s="2" t="s">
        <v>57</v>
      </c>
    </row>
    <row r="2" spans="1:3">
      <c r="A2" t="s">
        <v>53</v>
      </c>
      <c r="B2" t="s">
        <v>58</v>
      </c>
    </row>
    <row r="3" spans="1:3">
      <c r="A3">
        <v>10</v>
      </c>
      <c r="B3">
        <v>5</v>
      </c>
      <c r="C3" t="b">
        <f>(A3&gt;B3)</f>
        <v>1</v>
      </c>
    </row>
    <row r="4" spans="1:3">
      <c r="B4">
        <v>11</v>
      </c>
      <c r="C4" t="b">
        <f>AND(B3&lt;B4&gt;A3)</f>
        <v>1</v>
      </c>
    </row>
    <row r="8" spans="1:3">
      <c r="A8" s="2"/>
    </row>
    <row r="9" spans="1:3">
      <c r="A9" s="2" t="s">
        <v>13</v>
      </c>
      <c r="B9" s="2" t="s">
        <v>14</v>
      </c>
      <c r="C9" s="2" t="s">
        <v>59</v>
      </c>
    </row>
    <row r="10" spans="1:3">
      <c r="A10" t="s">
        <v>0</v>
      </c>
      <c r="B10">
        <v>97</v>
      </c>
      <c r="C10" t="s">
        <v>60</v>
      </c>
    </row>
    <row r="11" spans="1:3">
      <c r="A11" t="s">
        <v>1</v>
      </c>
      <c r="B11">
        <v>150</v>
      </c>
      <c r="C11" t="str">
        <f>IF(B10&gt;B11,"Cholocate Chip","Oatmeal Raisin")</f>
        <v>Oatmeal Raisin</v>
      </c>
    </row>
    <row r="12" spans="1:3">
      <c r="A12" t="s">
        <v>2</v>
      </c>
      <c r="B12">
        <v>150</v>
      </c>
    </row>
    <row r="13" spans="1:3">
      <c r="C13" s="2" t="s">
        <v>61</v>
      </c>
    </row>
    <row r="14" spans="1:3">
      <c r="C14" t="s">
        <v>62</v>
      </c>
    </row>
    <row r="15" spans="1:3">
      <c r="C15" t="str">
        <f>IF(AND(B11&gt;B12&gt;B10),"Oatmeam is healthy","Eat wise")</f>
        <v>Oatmeam is healthy</v>
      </c>
    </row>
    <row r="16" spans="1:3">
      <c r="C16" t="str">
        <f>IF(AND(B10&lt;B1, B10&lt;B12),"Fantastic","No, More Sales")</f>
        <v>No, More Sales</v>
      </c>
    </row>
    <row r="17" spans="1:5">
      <c r="C17" s="2" t="s">
        <v>63</v>
      </c>
    </row>
    <row r="18" spans="1:5">
      <c r="C18" t="s">
        <v>64</v>
      </c>
    </row>
    <row r="19" spans="1:5">
      <c r="C19" t="str">
        <f>IF(OR(B10&gt;B11, B10&gt;B12),"NICE","All the best")</f>
        <v>All the best</v>
      </c>
    </row>
    <row r="21" spans="1:5">
      <c r="A21" s="2" t="s">
        <v>65</v>
      </c>
      <c r="B21" s="2" t="s">
        <v>66</v>
      </c>
      <c r="C21" s="2" t="s">
        <v>67</v>
      </c>
    </row>
    <row r="22" spans="1:5">
      <c r="A22" t="s">
        <v>0</v>
      </c>
      <c r="B22">
        <v>10</v>
      </c>
      <c r="C22" t="s">
        <v>68</v>
      </c>
      <c r="E22" s="2" t="s">
        <v>2</v>
      </c>
    </row>
    <row r="23" spans="1:5">
      <c r="A23" t="s">
        <v>1</v>
      </c>
      <c r="B23">
        <v>8</v>
      </c>
      <c r="C23">
        <f>IF(E22=A22,B22, IF(E22=A23,B23, IF(E22=A24,B24, "Unknown")))</f>
        <v>5</v>
      </c>
    </row>
    <row r="24" spans="1:5">
      <c r="A24" t="s">
        <v>2</v>
      </c>
      <c r="B24">
        <v>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6"/>
  <sheetViews>
    <sheetView zoomScale="145" zoomScaleNormal="145" workbookViewId="0">
      <selection activeCell="E7" sqref="E7"/>
    </sheetView>
  </sheetViews>
  <sheetFormatPr defaultRowHeight="14.5"/>
  <cols>
    <col min="1" max="1" width="14.453125" bestFit="1" customWidth="1"/>
    <col min="3" max="3" width="11.54296875" customWidth="1"/>
    <col min="4" max="4" width="3.54296875" customWidth="1"/>
    <col min="5" max="5" width="19" bestFit="1" customWidth="1"/>
  </cols>
  <sheetData>
    <row r="1" spans="1:6">
      <c r="A1" s="2" t="s">
        <v>65</v>
      </c>
      <c r="B1" s="2" t="s">
        <v>66</v>
      </c>
      <c r="C1" s="2" t="s">
        <v>6</v>
      </c>
      <c r="D1" s="2"/>
      <c r="E1" s="2" t="s">
        <v>69</v>
      </c>
    </row>
    <row r="2" spans="1:6">
      <c r="A2" t="s">
        <v>0</v>
      </c>
      <c r="B2">
        <v>10</v>
      </c>
      <c r="C2">
        <v>4</v>
      </c>
      <c r="E2" t="s">
        <v>68</v>
      </c>
      <c r="F2" t="s">
        <v>2</v>
      </c>
    </row>
    <row r="3" spans="1:6">
      <c r="A3" t="s">
        <v>1</v>
      </c>
      <c r="B3">
        <v>8</v>
      </c>
      <c r="C3">
        <v>3</v>
      </c>
      <c r="E3">
        <f>VLOOKUP(F2,A1:C4,2,FALSE)</f>
        <v>5</v>
      </c>
    </row>
    <row r="4" spans="1:6">
      <c r="A4" t="s">
        <v>2</v>
      </c>
      <c r="B4">
        <v>5</v>
      </c>
      <c r="C4">
        <v>2</v>
      </c>
    </row>
    <row r="5" spans="1:6">
      <c r="E5" s="2" t="s">
        <v>70</v>
      </c>
    </row>
    <row r="6" spans="1:6">
      <c r="E6" t="s">
        <v>68</v>
      </c>
      <c r="F6" t="s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5"/>
  <sheetViews>
    <sheetView zoomScale="160" zoomScaleNormal="160" workbookViewId="0">
      <selection activeCell="A6" sqref="A6"/>
    </sheetView>
  </sheetViews>
  <sheetFormatPr defaultRowHeight="14.5"/>
  <cols>
    <col min="1" max="1" width="15.453125" bestFit="1" customWidth="1"/>
  </cols>
  <sheetData>
    <row r="1" spans="1:1">
      <c r="A1" s="2" t="s">
        <v>71</v>
      </c>
    </row>
    <row r="2" spans="1:1">
      <c r="A2" s="6">
        <f ca="1">TODAY()</f>
        <v>46089</v>
      </c>
    </row>
    <row r="4" spans="1:1">
      <c r="A4" s="2" t="s">
        <v>72</v>
      </c>
    </row>
    <row r="5" spans="1:1">
      <c r="A5" s="7">
        <f ca="1">NOW()</f>
        <v>46089.974269444443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4"/>
  <sheetViews>
    <sheetView tabSelected="1" zoomScale="250" zoomScaleNormal="250" workbookViewId="0">
      <selection activeCell="B4" sqref="B4"/>
    </sheetView>
  </sheetViews>
  <sheetFormatPr defaultRowHeight="14.5"/>
  <sheetData>
    <row r="1" spans="1:2">
      <c r="A1" s="8">
        <f>5+4</f>
        <v>9</v>
      </c>
      <c r="B1">
        <v>1</v>
      </c>
    </row>
    <row r="2" spans="1:2">
      <c r="A2" s="8">
        <f>8-2</f>
        <v>6</v>
      </c>
      <c r="B2">
        <v>3</v>
      </c>
    </row>
    <row r="3" spans="1:2">
      <c r="A3" s="8">
        <f>A2+B2</f>
        <v>9</v>
      </c>
      <c r="B3" s="8">
        <f>4+2</f>
        <v>6</v>
      </c>
    </row>
    <row r="4" spans="1:2">
      <c r="A4">
        <v>3</v>
      </c>
      <c r="B4" s="8">
        <f>B3+A3</f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Formula Fundamentals</vt:lpstr>
      <vt:lpstr>Tax Rate</vt:lpstr>
      <vt:lpstr>Order of Operations</vt:lpstr>
      <vt:lpstr>Basic Functions</vt:lpstr>
      <vt:lpstr>Conditional Functions</vt:lpstr>
      <vt:lpstr>Text Functions</vt:lpstr>
      <vt:lpstr>Logical Functions</vt:lpstr>
      <vt:lpstr>Lookup Functions</vt:lpstr>
      <vt:lpstr>Date &amp; Time</vt:lpstr>
      <vt:lpstr>Bonus</vt:lpstr>
      <vt:lpstr>TaxRate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Stratvert</dc:creator>
  <cp:lastModifiedBy>user</cp:lastModifiedBy>
  <cp:revision/>
  <dcterms:created xsi:type="dcterms:W3CDTF">2022-05-10T22:30:35Z</dcterms:created>
  <dcterms:modified xsi:type="dcterms:W3CDTF">2026-03-08T22:22:57Z</dcterms:modified>
</cp:coreProperties>
</file>